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51ce0a887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情清单" sheetId="1" r:id="R630ca39d59604dd0"/>
    <x:sheet xmlns:r="http://schemas.openxmlformats.org/officeDocument/2006/relationships" name="角色表情层级" sheetId="2" r:id="R729cd65471414319"/>
    <x:sheet xmlns:r="http://schemas.openxmlformats.org/officeDocument/2006/relationships" name="分类统计" sheetId="3" r:id="Rf4a9a514fc854c4d"/>
    <x:sheet xmlns:r="http://schemas.openxmlformats.org/officeDocument/2006/relationships" name="下拉选项" sheetId="4" r:id="Rdf3a78dd45524b17"/>
    <x:sheet xmlns:r="http://schemas.openxmlformats.org/officeDocument/2006/relationships" name="动作生成规则" sheetId="5" r:id="R4700b1798cbb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</x:font>
    <x:font>
      <x:b/>
      <x:color rgb="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7C2D12"/>
      </x:patternFill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F3F4F6"/>
      </x:patternFill>
    </x:fill>
    <x:fill>
      <x:patternFill patternType="solid">
        <x:fgColor rgb="065F46"/>
      </x:patternFill>
    </x:fill>
    <x:fill>
      <x:patternFill patternType="solid">
        <x:fgColor rgb="7F1D1D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1"/>
  </x:cellStyleXfs>
  <x:cellXfs count="10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1" fillId="3" borderId="0" xfId="0" applyAlignment="1">
      <x:alignment horizontal="center" vertical="center" wrapText="1"/>
    </x:xf>
    <x:xf numFmtId="0" fontId="0" fillId="3" borderId="1" xfId="0"/>
    <x:xf numFmtId="0" fontId="1" fillId="3" borderId="1" xfId="0"/>
    <x:xf numFmtId="0" fontId="1" fillId="3" borderId="1" xfId="0" applyAlignment="1">
      <x:alignment wrapText="1"/>
    </x:xf>
    <x:xf numFmtId="0" fontId="1" fillId="3" borderId="1" xfId="0" applyAlignment="1">
      <x:alignment horizontal="center" wrapText="1"/>
    </x:xf>
    <x:xf numFmtId="0" fontId="1" fillId="3" borderId="1" xfId="0" applyAlignment="1">
      <x:alignment horizontal="center" vertical="center" wrapText="1"/>
    </x:xf>
    <x:xf numFmtId="0" fontId="0" fillId="4" borderId="0" xfId="0"/>
    <x:xf numFmtId="0" fontId="2" fillId="4" borderId="0" xfId="0"/>
    <x:xf numFmtId="0" fontId="2" fillId="4" borderId="0" xfId="0" applyAlignment="1">
      <x:alignment horizontal="center"/>
    </x:xf>
    <x:xf numFmtId="0" fontId="2" fillId="4" borderId="0" xfId="0" applyAlignment="1">
      <x:alignment horizontal="center" vertical="center"/>
    </x:xf>
    <x:xf numFmtId="0" fontId="0" fillId="4" borderId="1" xfId="0"/>
    <x:xf numFmtId="0" fontId="2" fillId="4" borderId="1" xfId="0"/>
    <x:xf numFmtId="0" fontId="2" fillId="4" borderId="1" xfId="0" applyAlignment="1">
      <x:alignment horizontal="center"/>
    </x:xf>
    <x:xf numFmtId="0" fontId="2" fillId="4" borderId="1" xfId="0" applyAlignment="1">
      <x:alignment horizontal="center" vertical="center"/>
    </x:xf>
    <x:xf numFmtId="0" fontId="0" fillId="5" borderId="0" xfId="0"/>
    <x:xf numFmtId="0" fontId="1" fillId="5" borderId="0" xfId="0"/>
    <x:xf numFmtId="0" fontId="1" fillId="5" borderId="0" xfId="0" applyAlignment="1">
      <x:alignment horizontal="center"/>
    </x:xf>
    <x:xf numFmtId="0" fontId="0" fillId="5" borderId="1" xfId="0"/>
    <x:xf numFmtId="0" fontId="1" fillId="5" borderId="1" xfId="0"/>
    <x:xf numFmtId="0" fontId="1" fillId="5" borderId="1" xfId="0" applyAlignment="1">
      <x:alignment horizontal="center"/>
    </x:xf>
    <x:xf numFmtId="0" fontId="0" fillId="6" borderId="0" xfId="0"/>
    <x:xf numFmtId="0" fontId="3" fillId="6" borderId="0" xfId="0"/>
    <x:xf numFmtId="0" fontId="0" fillId="6" borderId="1" xfId="0"/>
    <x:xf numFmtId="0" fontId="3" fillId="6" borderId="1" xfId="0"/>
    <x:xf numFmtId="0" fontId="1" fillId="5" borderId="0" xfId="0" applyAlignment="1">
      <x:alignment horizontal="center" wrapText="1"/>
    </x:xf>
    <x:xf numFmtId="0" fontId="3" fillId="6" borderId="0" xfId="0" applyAlignment="1">
      <x:alignment wrapText="1"/>
    </x:xf>
    <x:xf numFmtId="0" fontId="1" fillId="5" borderId="1" xfId="0" applyAlignment="1">
      <x:alignment horizontal="center" wrapText="1"/>
    </x:xf>
    <x:xf numFmtId="0" fontId="3" fillId="6" borderId="1" xfId="0" applyAlignment="1">
      <x:alignment wrapText="1"/>
    </x:xf>
    <x:xf numFmtId="0" fontId="0" fillId="7" borderId="0" xfId="0"/>
    <x:xf numFmtId="0" fontId="1" fillId="7" borderId="0" xfId="0"/>
    <x:xf numFmtId="0" fontId="1" fillId="7" borderId="0" xfId="0" applyAlignment="1">
      <x:alignment horizontal="center"/>
    </x:xf>
    <x:xf numFmtId="0" fontId="0" fillId="7" borderId="1" xfId="0"/>
    <x:xf numFmtId="0" fontId="1" fillId="7" borderId="1" xfId="0"/>
    <x:xf numFmtId="0" fontId="1" fillId="7" borderId="1" xfId="0" applyAlignment="1">
      <x:alignment horizontal="center"/>
    </x:xf>
    <x:xf numFmtId="0" fontId="4" fillId="2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4" fillId="3" borderId="0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1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00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08d612b854c0a" /><Relationship Type="http://schemas.openxmlformats.org/officeDocument/2006/relationships/theme" Target="/xl/theme/theme1.xml" Id="R258c105d16544846" /><Relationship Type="http://schemas.openxmlformats.org/officeDocument/2006/relationships/sharedStrings" Target="/xl/sharedStrings.xml" Id="Re04ec0ea98e84f1b" /><Relationship Type="http://schemas.openxmlformats.org/officeDocument/2006/relationships/worksheet" Target="/xl/worksheets/sheet1.xml" Id="R630ca39d59604dd0" /><Relationship Type="http://schemas.openxmlformats.org/officeDocument/2006/relationships/worksheet" Target="/xl/worksheets/sheet2.xml" Id="R729cd65471414319" /><Relationship Type="http://schemas.openxmlformats.org/officeDocument/2006/relationships/worksheet" Target="/xl/worksheets/sheet3.xml" Id="Rf4a9a514fc854c4d" /><Relationship Type="http://schemas.openxmlformats.org/officeDocument/2006/relationships/worksheet" Target="/xl/worksheets/sheet4.xml" Id="Rdf3a78dd45524b17" /><Relationship Type="http://schemas.openxmlformats.org/officeDocument/2006/relationships/worksheet" Target="/xl/worksheets/sheet5.xml" Id="R4700b1798cbb4e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498e35785940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表情表现强度分布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场景数量</c:v>
          </c:tx>
          <c:spPr>
            <a:ln xmlns:a="http://schemas.openxmlformats.org/drawingml/2006/main">
              <a:prstDash val="solid"/>
            </a:ln>
          </c:spPr>
          <c:cat>
            <c:strRef>
              <c:f>'分类统计'!$D$4:$D$8</c:f>
              <c:strCache>
                <c:ptCount val="0"/>
              </c:strCache>
            </c:strRef>
          </c:cat>
          <c:val>
            <c:numRef>
              <c:f>'分类统计'!$E$4:$E$8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498e35785940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kerExpressionTable" displayName="PokerExpressionTable" ref="A1:K13" headerRowCount="1">
  <x:tableColumns count="11">
    <x:tableColumn id="1" name="序号"/>
    <x:tableColumn id="2" name="场景/牌局状态"/>
    <x:tableColumn id="3" name="表情关键词"/>
    <x:tableColumn id="4" name="面部细节"/>
    <x:tableColumn id="5" name="肢体动作"/>
    <x:tableColumn id="6" name="内心状态"/>
    <x:tableColumn id="7" name="可用台词"/>
    <x:tableColumn id="8" name="动画/分镜效果"/>
    <x:tableColumn id="9" name="适合角色风格"/>
    <x:tableColumn id="10" name="表现强度(1-5)"/>
    <x:tableColumn id="11" name="用途标签"/>
  </x:tableColumns>
  <x:tableStyleInfo name="TableStyleMedium2" showRowStripes="1"/>
</x:table>
</file>

<file path=xl/tables/table2.xml><?xml version="1.0" encoding="utf-8"?>
<x:table xmlns:x="http://schemas.openxmlformats.org/spreadsheetml/2006/main" id="2" name="ExpressionLevelTable" displayName="ExpressionLevelTable" ref="A1:E9" headerRowCount="1">
  <x:tableColumns count="5">
    <x:tableColumn id="1" name="牌局状态"/>
    <x:tableColumn id="2" name="外显表情"/>
    <x:tableColumn id="3" name="微表情信号"/>
    <x:tableColumn id="4" name="观众理解"/>
    <x:tableColumn id="5" name="推荐特效"/>
  </x:tableColumns>
  <x:tableStyleInfo name="TableStyleMedium2" showRowStripes="1"/>
</x:table>
</file>

<file path=xl/tables/table3.xml><?xml version="1.0" encoding="utf-8"?>
<x:table xmlns:x="http://schemas.openxmlformats.org/spreadsheetml/2006/main" id="3" name="DesignGuideTable" displayName="DesignGuideTable" ref="A1:C5" headerRowCount="1">
  <x:tableColumns count="3">
    <x:tableColumn id="1" name="使用建议"/>
    <x:tableColumn id="2" name="说明"/>
    <x:tableColumn id="3" name="示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69e4d2056d4d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f272d6fb9345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1c25df8b7c441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cf6f0015da4f9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17" hidden="0" customWidth="1"/>
    <x:col min="3" max="3" width="16" hidden="0" customWidth="1"/>
    <x:col min="4" max="4" width="26" hidden="0" customWidth="1"/>
    <x:col min="5" max="5" width="30" hidden="0" customWidth="1"/>
    <x:col min="6" max="6" width="44" hidden="0" customWidth="1"/>
    <x:col min="7" max="7" width="22" hidden="0" customWidth="1"/>
    <x:col min="8" max="8" width="18" hidden="0" customWidth="1"/>
    <x:col min="9" max="9" width="24" hidden="0" customWidth="1"/>
    <x:col min="10" max="10" width="16" hidden="0" customWidth="1"/>
    <x:col min="11" max="11" width="12" hidden="0" customWidth="1"/>
    <x:col min="12" max="12" width="14" hidden="0" customWidth="1"/>
    <x:col min="13" max="13" width="26" hidden="0" customWidth="1"/>
    <x:col min="14" max="14" width="42" hidden="0" customWidth="1"/>
  </x:cols>
  <x:sheetData>
    <x:row r="1" ht="36" customHeight="1">
      <x:c r="A1" s="92" t="inlineStr">
        <x:is>
          <x:t xml:space="preserve">序号</x:t>
        </x:is>
      </x:c>
      <x:c r="B1" s="92" t="inlineStr">
        <x:is>
          <x:t xml:space="preserve">场景/牌局状态</x:t>
        </x:is>
      </x:c>
      <x:c r="C1" s="92" t="inlineStr">
        <x:is>
          <x:t xml:space="preserve">表情关键词</x:t>
        </x:is>
      </x:c>
      <x:c r="D1" s="92" t="inlineStr">
        <x:is>
          <x:t xml:space="preserve">面部细节</x:t>
        </x:is>
      </x:c>
      <x:c r="E1" s="92" t="inlineStr">
        <x:is>
          <x:t xml:space="preserve">肢体动作</x:t>
        </x:is>
      </x:c>
      <x:c r="F1" s="92" t="inlineStr">
        <x:is>
          <x:t xml:space="preserve">肢体语言描述</x:t>
        </x:is>
      </x:c>
      <x:c r="G1" s="92" t="inlineStr">
        <x:is>
          <x:t xml:space="preserve">内心状态</x:t>
        </x:is>
      </x:c>
      <x:c r="H1" s="92" t="inlineStr">
        <x:is>
          <x:t xml:space="preserve">可用台词</x:t>
        </x:is>
      </x:c>
      <x:c r="I1" s="92" t="inlineStr">
        <x:is>
          <x:t xml:space="preserve">动画/分镜效果</x:t>
        </x:is>
      </x:c>
      <x:c r="J1" s="92" t="inlineStr">
        <x:is>
          <x:t xml:space="preserve">适合角色风格</x:t>
        </x:is>
      </x:c>
      <x:c r="K1" s="92" t="inlineStr">
        <x:is>
          <x:t xml:space="preserve">表现强度(1-5)</x:t>
        </x:is>
      </x:c>
      <x:c r="L1" s="92" t="inlineStr">
        <x:is>
          <x:t xml:space="preserve">用途标签</x:t>
        </x:is>
      </x:c>
      <x:c r="M1" s="96" t="str">
        <x:v>动作幅度/构图要求</x:v>
      </x:c>
      <x:c r="N1" s="96" t="str">
        <x:v>出图动作提示词（避免总拿牌）</x:v>
      </x:c>
    </x:row>
    <x:row r="2" ht="76" customHeight="1">
      <x:c r="A2" s="64" t="n">
        <x:v>1</x:v>
      </x:c>
      <x:c r="B2" s="64" t="inlineStr">
        <x:is>
          <x:t xml:space="preserve">冷静观察</x:t>
        </x:is>
      </x:c>
      <x:c r="C2" s="64" t="inlineStr">
        <x:is>
          <x:t xml:space="preserve">扑克脸、审视</x:t>
        </x:is>
      </x:c>
      <x:c r="D2" s="64" t="inlineStr">
        <x:is>
          <x:t xml:space="preserve">眼神半眯，嘴角平直，瞳孔有压迫感</x:t>
        </x:is>
      </x:c>
      <x:c r="E2" s="64" t="str">
        <x:v>不拿牌；一手托腮，一手按在筹码旁，上身前倾观察</x:v>
      </x:c>
      <x:c r="F2" s="64" t="str">
        <x:v>不再拿牌；一手托腮或握拳抵在下巴旁，另一手摊开压在桌面筹码旁；上半身明显前倾，头微微侧向公共牌，像在冷静扫描全桌。动作幅度比原版更清楚，但节奏依旧慢、稳。</x:v>
      </x:c>
      <x:c r="G2" s="64" t="inlineStr">
        <x:is>
          <x:t xml:space="preserve">正在计算对手范围和下注逻辑</x:t>
        </x:is>
      </x:c>
      <x:c r="H2" s="64" t="inlineStr">
        <x:is>
          <x:t xml:space="preserve">这个下注量……不像是诈唬。</x:t>
        </x:is>
      </x:c>
      <x:c r="I2" s="64" t="inlineStr">
        <x:is>
          <x:t xml:space="preserve">背景弱化，只强调眼睛和筹码声</x:t>
        </x:is>
      </x:c>
      <x:c r="J2" s="64" t="inlineStr">
        <x:is>
          <x:t xml:space="preserve">高手型/冷静型</x:t>
        </x:is>
      </x:c>
      <x:c r="K2" s="64" t="n">
        <x:v>2</x:v>
      </x:c>
      <x:c r="L2" s="64" t="inlineStr">
        <x:is>
          <x:t xml:space="preserve">观察/铺垫</x:t>
        </x:is>
      </x:c>
      <x:c r="M2" s="64" t="str">
        <x:v>中等偏大：明显前倾+托腮，不拿牌</x:v>
      </x:c>
      <x:c r="N2" s="64" t="str">
        <x:v>one hand supporting chin, other hand resting near poker chips, leaning forward, no cards in hands</x:v>
      </x:c>
    </x:row>
    <x:row r="3" ht="76" customHeight="1">
      <x:c r="A3" s="64" t="n">
        <x:v>2</x:v>
      </x:c>
      <x:c r="B3" s="64" t="inlineStr">
        <x:is>
          <x:t xml:space="preserve">拿到好牌但装平静</x:t>
        </x:is>
      </x:c>
      <x:c r="C3" s="64" t="inlineStr">
        <x:is>
          <x:t xml:space="preserve">暗爽、克制</x:t>
        </x:is>
      </x:c>
      <x:c r="D3" s="64" t="inlineStr">
        <x:is>
          <x:t xml:space="preserve">表面无表情，眼睛轻微发亮，嘴角差点上扬</x:t>
        </x:is>
      </x:c>
      <x:c r="E3" s="64" t="str">
        <x:v>不拿牌；靠回椅背，双手交叠在筹码前，装作放松</x:v>
      </x:c>
      <x:c r="F3" s="64" t="str">
        <x:v>不拿牌；身体靠回椅背，双手自然交叠在筹码前，指尖轻轻压住一枚筹码；眼神看似随意地扫过牌面，嘴角被强行压住。用“放松得过头”的姿态表现她在隐藏好牌。</x:v>
      </x:c>
      <x:c r="G3" s="64" t="inlineStr">
        <x:is>
          <x:t xml:space="preserve">心里很兴奋，但强行压住</x:t>
        </x:is>
      </x:c>
      <x:c r="H3" s="64" t="inlineStr">
        <x:is>
          <x:t xml:space="preserve">只是跟注。</x:t>
        </x:is>
      </x:c>
      <x:c r="I3" s="64" t="inlineStr">
        <x:is>
          <x:t xml:space="preserve">内心小人狂喜，外表冷淡形成反差</x:t>
        </x:is>
      </x:c>
      <x:c r="J3" s="64" t="inlineStr">
        <x:is>
          <x:t xml:space="preserve">反差萌/高手型</x:t>
        </x:is>
      </x:c>
      <x:c r="K3" s="64" t="n">
        <x:v>3</x:v>
      </x:c>
      <x:c r="L3" s="64" t="inlineStr">
        <x:is>
          <x:t xml:space="preserve">强牌/喜剧</x:t>
        </x:is>
      </x:c>
      <x:c r="M3" s="64" t="str">
        <x:v>中等：靠背+双手交叠，不拿牌</x:v>
      </x:c>
      <x:c r="N3" s="64" t="str">
        <x:v>leaning back calmly, both hands folded near chip stacks, subtly pressing one chip, no cards in hands</x:v>
      </x:c>
    </x:row>
    <x:row r="4" ht="76" customHeight="1">
      <x:c r="A4" s="64" t="n">
        <x:v>3</x:v>
      </x:c>
      <x:c r="B4" s="64" t="inlineStr">
        <x:is>
          <x:t xml:space="preserve">拿到烂牌但强撑镇定</x:t>
        </x:is>
      </x:c>
      <x:c r="C4" s="64" t="inlineStr">
        <x:is>
          <x:t xml:space="preserve">僵硬、心虚</x:t>
        </x:is>
      </x:c>
      <x:c r="D4" s="64" t="inlineStr">
        <x:is>
          <x:t xml:space="preserve">眉毛抽一下，眼神短暂失焦，额头一滴汗</x:t>
        </x:is>
      </x:c>
      <x:c r="E4" s="64" t="str">
        <x:v>不拿牌；坐直并把筹码拢到身前，肩膀短暂僵住</x:v>
      </x:c>
      <x:c r="F4" s="64" t="str">
        <x:v>不拿牌；整个人突然坐直，双手把筹码轻轻拢到身前，像在给自己找安全感；肩膀微缩，手腕僵硬，随后立刻假装镇定把手放平。动作要有明显的短暂失控感。</x:v>
      </x:c>
      <x:c r="G4" s="64" t="inlineStr">
        <x:is>
          <x:t xml:space="preserve">觉得牌很差，但还想演</x:t>
        </x:is>
      </x:c>
      <x:c r="H4" s="64" t="inlineStr">
        <x:is>
          <x:t xml:space="preserve">……嗯，能打。</x:t>
        </x:is>
      </x:c>
      <x:c r="I4" s="64" t="inlineStr">
        <x:is>
          <x:t xml:space="preserve">镜头拉近汗滴，背景短暂灰化</x:t>
        </x:is>
      </x:c>
      <x:c r="J4" s="64" t="inlineStr">
        <x:is>
          <x:t xml:space="preserve">喜剧型/反差萌</x:t>
        </x:is>
      </x:c>
      <x:c r="K4" s="64" t="n">
        <x:v>3</x:v>
      </x:c>
      <x:c r="L4" s="64" t="inlineStr">
        <x:is>
          <x:t xml:space="preserve">烂牌/喜剧</x:t>
        </x:is>
      </x:c>
      <x:c r="M4" s="64" t="str">
        <x:v>偏大：坐直+拢筹码+肩缩，不拿牌</x:v>
      </x:c>
      <x:c r="N4" s="64" t="str">
        <x:v>suddenly sitting upright, both hands gathering chips close to body, stiff shoulders, no cards in hands</x:v>
      </x:c>
    </x:row>
    <x:row r="5" ht="76" customHeight="1">
      <x:c r="A5" s="64" t="n">
        <x:v>4</x:v>
      </x:c>
      <x:c r="B5" s="64" t="inlineStr">
        <x:is>
          <x:t xml:space="preserve">诈唬时的假自信</x:t>
        </x:is>
      </x:c>
      <x:c r="C5" s="64" t="inlineStr">
        <x:is>
          <x:t xml:space="preserve">嚣张、紧张</x:t>
        </x:is>
      </x:c>
      <x:c r="D5" s="64" t="inlineStr">
        <x:is>
          <x:t xml:space="preserve">嘴角上扬，笑得很稳，但眼神微飘</x:t>
        </x:is>
      </x:c>
      <x:c r="E5" s="64" t="str">
        <x:v>不拿牌；后靠并单手推筹码，另一手压桌沿/扶手</x:v>
      </x:c>
      <x:c r="F5" s="64" t="str">
        <x:v>不拿牌；身体向后靠，单手把一叠筹码往前推，另一只手搭在椅子扶手或桌沿；姿态故意摆得很大，像在用身体压迫对手，但手指和肩膀略僵，暴露内心紧张。</x:v>
      </x:c>
      <x:c r="G5" s="64" t="inlineStr">
        <x:is>
          <x:t xml:space="preserve">表面很狂，内心疯狂祈祷</x:t>
        </x:is>
      </x:c>
      <x:c r="H5" s="64" t="inlineStr">
        <x:is>
          <x:t xml:space="preserve">跟不跟？你自己想清楚。</x:t>
        </x:is>
      </x:c>
      <x:c r="I5" s="64" t="inlineStr">
        <x:is>
          <x:t xml:space="preserve">外表高光，内心字幕：完了别跟啊</x:t>
        </x:is>
      </x:c>
      <x:c r="J5" s="64" t="inlineStr">
        <x:is>
          <x:t xml:space="preserve">狡猾型/喜剧型</x:t>
        </x:is>
      </x:c>
      <x:c r="K5" s="64" t="n">
        <x:v>4</x:v>
      </x:c>
      <x:c r="L5" s="64" t="inlineStr">
        <x:is>
          <x:t xml:space="preserve">诈唬/紧张</x:t>
        </x:is>
      </x:c>
      <x:c r="M5" s="64" t="str">
        <x:v>大：后靠+推筹码+压迫姿态，不拿牌</x:v>
      </x:c>
      <x:c r="N5" s="64" t="str">
        <x:v>leaning back with one hand pushing chips forward, other hand on chair arm or table edge, no cards in hands</x:v>
      </x:c>
    </x:row>
    <x:row r="6" ht="76" customHeight="1">
      <x:c r="A6" s="64" t="n">
        <x:v>5</x:v>
      </x:c>
      <x:c r="B6" s="64" t="inlineStr">
        <x:is>
          <x:t xml:space="preserve">被对手加注</x:t>
        </x:is>
      </x:c>
      <x:c r="C6" s="64" t="inlineStr">
        <x:is>
          <x:t xml:space="preserve">震惊、警觉</x:t>
        </x:is>
      </x:c>
      <x:c r="D6" s="64" t="inlineStr">
        <x:is>
          <x:t xml:space="preserve">瞳孔缩小，笑容凝固，眉头压低</x:t>
        </x:is>
      </x:c>
      <x:c r="E6" s="64" t="str">
        <x:v>不拿牌；手停在半空，身体明显后仰</x:v>
      </x:c>
      <x:c r="F6" s="64" t="str">
        <x:v>不拿牌；原本要推出筹码的手停在半空，另一手撑住桌面；身体明显后仰，眼睛盯住对手方向，椅背露出更多。让“笑容凝固+动作刹车”成为重点。</x:v>
      </x:c>
      <x:c r="G6" s="64" t="inlineStr">
        <x:is>
          <x:t xml:space="preserve">意识到局势失控，开始重新判断</x:t>
        </x:is>
      </x:c>
      <x:c r="H6" s="64" t="inlineStr">
        <x:is>
          <x:t xml:space="preserve">……你还敢加？</x:t>
        </x:is>
      </x:c>
      <x:c r="I6" s="64" t="inlineStr">
        <x:is>
          <x:t xml:space="preserve">背景变黑，只保留筹码落桌声</x:t>
        </x:is>
      </x:c>
      <x:c r="J6" s="64" t="inlineStr">
        <x:is>
          <x:t xml:space="preserve">高手型/剧情型</x:t>
        </x:is>
      </x:c>
      <x:c r="K6" s="64" t="n">
        <x:v>4</x:v>
      </x:c>
      <x:c r="L6" s="64" t="inlineStr">
        <x:is>
          <x:t xml:space="preserve">反转/危机</x:t>
        </x:is>
      </x:c>
      <x:c r="M6" s="64" t="str">
        <x:v>大：手停半空+身体后仰，不拿牌</x:v>
      </x:c>
      <x:c r="N6" s="64" t="str">
        <x:v>hand frozen mid-air above chips, other hand bracing on table, body leaning backward, no cards in hands</x:v>
      </x:c>
    </x:row>
    <x:row r="7" ht="76" customHeight="1">
      <x:c r="A7" s="64" t="n">
        <x:v>6</x:v>
      </x:c>
      <x:c r="B7" s="64" t="inlineStr">
        <x:is>
          <x:t xml:space="preserve">陷入苦思</x:t>
        </x:is>
      </x:c>
      <x:c r="C7" s="64" t="inlineStr">
        <x:is>
          <x:t xml:space="preserve">焦虑、推理</x:t>
        </x:is>
      </x:c>
      <x:c r="D7" s="64" t="inlineStr">
        <x:is>
          <x:t xml:space="preserve">眉头紧锁，眼睛盯着公共牌，额头出汗</x:t>
        </x:is>
      </x:c>
      <x:c r="E7" s="64" t="str">
        <x:v>不拿牌；双肘上桌，双手抵嘴，上身压向牌面</x:v>
      </x:c>
      <x:c r="F7" s="64" t="str">
        <x:v>不拿牌；双肘压在桌面，上身大幅前倾，双手交叉抵住嘴前或鼻梁，几乎把脸藏在手后；视线穿过手指盯着公共牌。桌面空间被她的身体压缩，突出沉重思考。</x:v>
      </x:c>
      <x:c r="G7" s="64" t="inlineStr">
        <x:is>
          <x:t xml:space="preserve">回忆每一轮下注，试图拼出真相</x:t>
        </x:is>
      </x:c>
      <x:c r="H7" s="64" t="inlineStr">
        <x:is>
          <x:t xml:space="preserve">等等……他翻牌圈的停顿不对。</x:t>
        </x:is>
      </x:c>
      <x:c r="I7" s="64" t="inlineStr">
        <x:is>
          <x:t xml:space="preserve">画面浮现翻前、转牌、河牌的回忆碎片</x:t>
        </x:is>
      </x:c>
      <x:c r="J7" s="64" t="inlineStr">
        <x:is>
          <x:t xml:space="preserve">侦探型/剧情型</x:t>
        </x:is>
      </x:c>
      <x:c r="K7" s="64" t="n">
        <x:v>5</x:v>
      </x:c>
      <x:c r="L7" s="64" t="inlineStr">
        <x:is>
          <x:t xml:space="preserve">决策/推理</x:t>
        </x:is>
      </x:c>
      <x:c r="M7" s="64" t="str">
        <x:v>很大：双肘上桌+身体前压，不拿牌</x:v>
      </x:c>
      <x:c r="N7" s="64" t="str">
        <x:v>both elbows on the table, upper body leaning far forward, hands clasped in front of mouth, no cards in hands</x:v>
      </x:c>
    </x:row>
    <x:row r="8" ht="76" customHeight="1">
      <x:c r="A8" s="64" t="n">
        <x:v>7</x:v>
      </x:c>
      <x:c r="B8" s="64" t="inlineStr">
        <x:is>
          <x:t xml:space="preserve">自以为看穿对手</x:t>
        </x:is>
      </x:c>
      <x:c r="C8" s="64" t="inlineStr">
        <x:is>
          <x:t xml:space="preserve">锐利、得意</x:t>
        </x:is>
      </x:c>
      <x:c r="D8" s="64" t="inlineStr">
        <x:is>
          <x:t xml:space="preserve">眼神突然变锋利，嘴角轻笑</x:t>
        </x:is>
      </x:c>
      <x:c r="E8" s="64" t="str">
        <x:v>不拿牌；身体前探，食指点桌，另一手按住桌沿</x:v>
      </x:c>
      <x:c r="F8" s="64" t="str">
        <x:v>不拿牌；身体突然前探，单手食指点向桌面或筹码边缘，另一手按住桌沿；肩膀打开，目光直刺对手方向。动作要像侦探破案瞬间，带一点压迫和中二感。</x:v>
      </x:c>
      <x:c r="G8" s="64" t="inlineStr">
        <x:is>
          <x:t xml:space="preserve">觉得自己已经找到破绽</x:t>
        </x:is>
      </x:c>
      <x:c r="H8" s="64" t="inlineStr">
        <x:is>
          <x:t xml:space="preserve">原来如此……你从一开始就在演。</x:t>
        </x:is>
      </x:c>
      <x:c r="I8" s="64" t="inlineStr">
        <x:is>
          <x:t xml:space="preserve">背景出现棋盘、公式、火花特效</x:t>
        </x:is>
      </x:c>
      <x:c r="J8" s="64" t="inlineStr">
        <x:is>
          <x:t xml:space="preserve">中二型/侦探型</x:t>
        </x:is>
      </x:c>
      <x:c r="K8" s="64" t="n">
        <x:v>4</x:v>
      </x:c>
      <x:c r="L8" s="64" t="inlineStr">
        <x:is>
          <x:t xml:space="preserve">推理/反击</x:t>
        </x:is>
      </x:c>
      <x:c r="M8" s="64" t="str">
        <x:v>大：前探+指向桌面，不拿牌</x:v>
      </x:c>
      <x:c r="N8" s="64" t="str">
        <x:v>body lunging slightly forward, index finger pointing at the table or chip stack, other hand gripping table edge, no cards in hands</x:v>
      </x:c>
    </x:row>
    <x:row r="9" ht="76" customHeight="1">
      <x:c r="A9" s="64" t="n">
        <x:v>8</x:v>
      </x:c>
      <x:c r="B9" s="64" t="inlineStr">
        <x:is>
          <x:t xml:space="preserve">赢牌后的得意</x:t>
        </x:is>
      </x:c>
      <x:c r="C9" s="64" t="inlineStr">
        <x:is>
          <x:t xml:space="preserve">挑衅、满足</x:t>
        </x:is>
      </x:c>
      <x:c r="D9" s="64" t="inlineStr">
        <x:is>
          <x:t xml:space="preserve">嘴角上扬，眼神带挑衅</x:t>
        </x:is>
      </x:c>
      <x:c r="E9" s="64" t="str">
        <x:v>不拿牌；拉回筹码，扶帽檐或整理袖口</x:v>
      </x:c>
      <x:c r="F9" s="64" t="str">
        <x:v>不拿牌；一手把筹码大幅拉回自己面前，另一手轻扶帽檐或整理袖口；身体微微侧坐，嘴角带挑衅。动作比原版更有“收割战利品”的感觉。</x:v>
      </x:c>
      <x:c r="G9" s="64" t="inlineStr">
        <x:is>
          <x:t xml:space="preserve">享受胜利，也想压迫对手</x:t>
        </x:is>
      </x:c>
      <x:c r="H9" s="64" t="inlineStr">
        <x:is>
          <x:t xml:space="preserve">不好意思，这局我从翻牌前就赢了。</x:t>
        </x:is>
      </x:c>
      <x:c r="I9" s="64" t="inlineStr">
        <x:is>
          <x:t xml:space="preserve">筹码声放大，镜头从牌面推到表情</x:t>
        </x:is>
      </x:c>
      <x:c r="J9" s="64" t="inlineStr">
        <x:is>
          <x:t xml:space="preserve">自信型/中二型</x:t>
        </x:is>
      </x:c>
      <x:c r="K9" s="64" t="n">
        <x:v>4</x:v>
      </x:c>
      <x:c r="L9" s="64" t="inlineStr">
        <x:is>
          <x:t xml:space="preserve">胜利/装酷</x:t>
        </x:is>
      </x:c>
      <x:c r="M9" s="64" t="str">
        <x:v>大：拉筹码+扶帽檐/整理袖口，不拿牌</x:v>
      </x:c>
      <x:c r="N9" s="64" t="str">
        <x:v>one hand pulling chips toward herself, other hand adjusting beret or sleeve, slightly sideways posture, no cards in hands</x:v>
      </x:c>
    </x:row>
    <x:row r="10" ht="76" customHeight="1">
      <x:c r="A10" s="64" t="n">
        <x:v>9</x:v>
      </x:c>
      <x:c r="B10" s="64" t="inlineStr">
        <x:is>
          <x:t xml:space="preserve">输光后的崩溃</x:t>
        </x:is>
      </x:c>
      <x:c r="C10" s="64" t="inlineStr">
        <x:is>
          <x:t xml:space="preserve">空洞、破防</x:t>
        </x:is>
      </x:c>
      <x:c r="D10" s="64" t="inlineStr">
        <x:is>
          <x:t xml:space="preserve">眼神空洞，嘴巴微张，脸色灰白</x:t>
        </x:is>
      </x:c>
      <x:c r="E10" s="64" t="str">
        <x:v>不拿牌；瘫在椅背，双手无力垂在桌边</x:v>
      </x:c>
      <x:c r="F10" s="64" t="str">
        <x:v>不拿牌；身体瘫进椅背，双手无力垂在桌边或摊开，筹码区空空；头微微后仰，眼神失焦。动作可以夸张到像灵魂被抽走，形成强喜剧效果。</x:v>
      </x:c>
      <x:c r="G10" s="64" t="inlineStr">
        <x:is>
          <x:t xml:space="preserve">大脑宕机，无法接受现实</x:t>
        </x:is>
      </x:c>
      <x:c r="H10" s="64" t="inlineStr">
        <x:is>
          <x:t xml:space="preserve">我的筹码……去哪了？</x:t>
        </x:is>
      </x:c>
      <x:c r="I10" s="64" t="inlineStr">
        <x:is>
          <x:t xml:space="preserve">灵魂出窍，背景灰白，桌上只剩空位</x:t>
        </x:is>
      </x:c>
      <x:c r="J10" s="64" t="inlineStr">
        <x:is>
          <x:t xml:space="preserve">喜剧型/夸张型</x:t>
        </x:is>
      </x:c>
      <x:c r="K10" s="64" t="n">
        <x:v>5</x:v>
      </x:c>
      <x:c r="L10" s="64" t="inlineStr">
        <x:is>
          <x:t xml:space="preserve">失败/喜剧</x:t>
        </x:is>
      </x:c>
      <x:c r="M10" s="64" t="str">
        <x:v>很大：瘫椅背+双手脱力，不拿牌</x:v>
      </x:c>
      <x:c r="N10" s="64" t="str">
        <x:v>slumped back in chair, hands hanging weakly at table edge, empty chip area, no cards in hands</x:v>
      </x:c>
    </x:row>
    <x:row r="11" ht="76" customHeight="1">
      <x:c r="A11" s="64" t="n">
        <x:v>10</x:v>
      </x:c>
      <x:c r="B11" s="64" t="inlineStr">
        <x:is>
          <x:t xml:space="preserve">All-in 时的决绝</x:t>
        </x:is>
      </x:c>
      <x:c r="C11" s="64" t="inlineStr">
        <x:is>
          <x:t xml:space="preserve">坚定、燃</x:t>
        </x:is>
      </x:c>
      <x:c r="D11" s="64" t="inlineStr">
        <x:is>
          <x:t xml:space="preserve">眼神坚定，嘴角无笑，表情认真</x:t>
        </x:is>
      </x:c>
      <x:c r="E11" s="64" t="str">
        <x:v>不拿牌；双手把全部筹码猛推到桌中央</x:v>
      </x:c>
      <x:c r="F11" s="64" t="str">
        <x:v>不拿牌；双手同时把全部筹码推向桌中央，上身完全压向桌面，肩膀前送；眼神死盯前方。动作要大、直、猛，让“All-in”有仪式感和冲击力。</x:v>
      </x:c>
      <x:c r="G11" s="64" t="inlineStr">
        <x:is>
          <x:t xml:space="preserve">已经决定赌上全部，不再后退</x:t>
        </x:is>
      </x:c>
      <x:c r="H11" s="64" t="inlineStr">
        <x:is>
          <x:t xml:space="preserve">All in。</x:t>
        </x:is>
      </x:c>
      <x:c r="I11" s="64" t="inlineStr">
        <x:is>
          <x:t xml:space="preserve">筹码撞击声、风压、火焰或黑影压迫感</x:t>
        </x:is>
      </x:c>
      <x:c r="J11" s="64" t="inlineStr">
        <x:is>
          <x:t xml:space="preserve">热血型/主角型</x:t>
        </x:is>
      </x:c>
      <x:c r="K11" s="64" t="n">
        <x:v>5</x:v>
      </x:c>
      <x:c r="L11" s="64" t="inlineStr">
        <x:is>
          <x:t xml:space="preserve">高潮/决战</x:t>
        </x:is>
      </x:c>
      <x:c r="M11" s="64" t="str">
        <x:v>很大：双手猛推全部筹码，不拿牌</x:v>
      </x:c>
      <x:c r="N11" s="64" t="str">
        <x:v>both hands pushing all chips into the center, upper body pressed forward, no cards in hands</x:v>
      </x:c>
    </x:row>
    <x:row r="12" ht="76" customHeight="1">
      <x:c r="A12" s="64" t="n">
        <x:v>11</x:v>
      </x:c>
      <x:c r="B12" s="64" t="inlineStr">
        <x:is>
          <x:t xml:space="preserve">明明慌了但装高手</x:t>
        </x:is>
      </x:c>
      <x:c r="C12" s="64" t="inlineStr">
        <x:is>
          <x:t xml:space="preserve">强撑、反差</x:t>
        </x:is>
      </x:c>
      <x:c r="D12" s="64" t="inlineStr">
        <x:is>
          <x:t xml:space="preserve">表情严肃，眼角冒汗，笑容略僵</x:t>
        </x:is>
      </x:c>
      <x:c r="E12" s="64" t="str">
        <x:v>不拿牌；上半身装稳，桌下腿抖，手指僵硬</x:v>
      </x:c>
      <x:c r="F12" s="64" t="str">
        <x:v>不拿牌；表面上她坐得笔直，单手优雅地扶着下巴，另一手按住筹码；但桌下腿明显发抖，袖口附近有汗，身体线条有一点僵。画面可同时表现“上半身装高手、下半身崩溃”。</x:v>
      </x:c>
      <x:c r="G12" s="64" t="inlineStr">
        <x:is>
          <x:t xml:space="preserve">嘴上说计划内，内心已经慌乱</x:t>
        </x:is>
      </x:c>
      <x:c r="H12" s="64" t="inlineStr">
        <x:is>
          <x:t xml:space="preserve">呵……不错，正合我意。</x:t>
        </x:is>
      </x:c>
      <x:c r="I12" s="64" t="inlineStr">
        <x:is>
          <x:t xml:space="preserve">外表冷静，内心字幕：他为什么不弃牌啊？！</x:t>
        </x:is>
      </x:c>
      <x:c r="J12" s="64" t="inlineStr">
        <x:is>
          <x:t xml:space="preserve">反差萌/喜剧型</x:t>
        </x:is>
      </x:c>
      <x:c r="K12" s="64" t="n">
        <x:v>4</x:v>
      </x:c>
      <x:c r="L12" s="64" t="inlineStr">
        <x:is>
          <x:t xml:space="preserve">诈唬/反差</x:t>
        </x:is>
      </x:c>
      <x:c r="M12" s="64" t="str">
        <x:v>大反差：上半身稳、桌下发抖，不拿牌</x:v>
      </x:c>
      <x:c r="N12" s="64" t="str">
        <x:v>upper body sitting straight and elegant, one hand on chin, other hand on chips, visible trembling leg under table, no cards in hands</x:v>
      </x:c>
    </x:row>
    <x:row r="13" ht="76" customHeight="1">
      <x:c r="A13" s="64" t="n">
        <x:v>12</x:v>
      </x:c>
      <x:c r="B13" s="64" t="inlineStr">
        <x:is>
          <x:t xml:space="preserve">真正的扑克脸</x:t>
        </x:is>
      </x:c>
      <x:c r="C13" s="64" t="inlineStr">
        <x:is>
          <x:t xml:space="preserve">无情、压迫</x:t>
        </x:is>
      </x:c>
      <x:c r="D13" s="64" t="inlineStr">
        <x:is>
          <x:t xml:space="preserve">几乎没有表情，只靠眼神和呼吸变化</x:t>
        </x:is>
      </x:c>
      <x:c r="E13" s="64" t="str">
        <x:v>不拿牌；端坐正中，双手平放桌面，动作极稳</x:v>
      </x:c>
      <x:c r="F13" s="64" t="str">
        <x:v>不拿牌；身体端坐在椅子正中，双手平放在桌面两侧，所有动作都对称、稳定；只有眼神微移或指尖停顿。虽然幅度不大，但姿态更完整、更有压迫感。</x:v>
      </x:c>
      <x:c r="G13" s="64" t="inlineStr">
        <x:is>
          <x:t xml:space="preserve">情绪完全被藏起来，让对手无法读取</x:t>
        </x:is>
      </x:c>
      <x:c r="H13" s="64" t="inlineStr">
        <x:is>
          <x:t xml:space="preserve">……</x:t>
        </x:is>
      </x:c>
      <x:c r="I13" s="64" t="inlineStr">
        <x:is>
          <x:t xml:space="preserve">用极小细节表现：眼皮轻跳、呼吸变慢</x:t>
        </x:is>
      </x:c>
      <x:c r="J13" s="64" t="inlineStr">
        <x:is>
          <x:t xml:space="preserve">高手型/神秘型</x:t>
        </x:is>
      </x:c>
      <x:c r="K13" s="64" t="n">
        <x:v>2</x:v>
      </x:c>
      <x:c r="L13" s="64" t="inlineStr">
        <x:is>
          <x:t xml:space="preserve">高手/压迫</x:t>
        </x:is>
      </x:c>
      <x:c r="M13" s="64" t="str">
        <x:v>小幅但完整：端坐对称+强压迫，不拿牌</x:v>
      </x:c>
      <x:c r="N13" s="64" t="str">
        <x:v>sitting perfectly centered, both hands flat on table, symmetrical stable posture, no cards in hands</x:v>
      </x:c>
    </x:row>
  </x:sheetData>
  <x:conditionalFormatting sqref="J2:J13">
    <x:cfRule type="dataBar" priority="1">
      <x:dataBar>
        <x:cfvo type="min"/>
        <x:cfvo type="max"/>
        <x:color rgb="00F59E0B"/>
      </x:dataBar>
    </x:cfRule>
  </x:conditionalFormatting>
  <x:dataValidations count="2">
    <x:dataValidation type="list" allowBlank="0" showDropDown="0" showInputMessage="0" showErrorMessage="0" sqref="J2:J13">
      <x:formula1>"1,2,3,4,5"</x:formula1>
    </x:dataValidation>
    <x:dataValidation type="list" allowBlank="0" showDropDown="0" showInputMessage="0" showErrorMessage="0" sqref="I2:I13">
      <x:formula1>"高手型/冷静型,反差萌/高手型,喜剧型/反差萌,狡猾型/喜剧型,高手型/剧情型,侦探型/剧情型,中二型/侦探型,自信型/中二型,喜剧型/夸张型,热血型/主角型,反差萌/喜剧型,高手型/神秘型"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69e4d2056d4d13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18" hidden="0" customWidth="1"/>
    <x:col min="4" max="4" width="42" hidden="0" customWidth="1"/>
    <x:col min="5" max="5" width="20" hidden="0" customWidth="1"/>
    <x:col min="6" max="6" width="24" hidden="0" customWidth="1"/>
  </x:cols>
  <x:sheetData>
    <x:row r="1" ht="34" customHeight="1">
      <x:c r="A1" s="94" t="inlineStr">
        <x:is>
          <x:t xml:space="preserve">牌局状态</x:t>
        </x:is>
      </x:c>
      <x:c r="B1" s="94" t="inlineStr">
        <x:is>
          <x:t xml:space="preserve">外显表情</x:t>
        </x:is>
      </x:c>
      <x:c r="C1" s="94" t="inlineStr">
        <x:is>
          <x:t xml:space="preserve">微表情信号</x:t>
        </x:is>
      </x:c>
      <x:c r="D1" s="94" t="str">
        <x:v>肢体语言建议（加大动作版）</x:v>
      </x:c>
      <x:c r="E1" s="94" t="inlineStr">
        <x:is>
          <x:t xml:space="preserve">观众理解</x:t>
        </x:is>
      </x:c>
      <x:c r="F1" s="94" t="inlineStr">
        <x:is>
          <x:t xml:space="preserve">推荐特效</x:t>
        </x:is>
      </x:c>
    </x:row>
    <x:row r="2" ht="56" customHeight="1">
      <x:c r="A2" s="64" t="inlineStr">
        <x:is>
          <x:t xml:space="preserve">普通牌</x:t>
        </x:is>
      </x:c>
      <x:c r="B2" s="64" t="inlineStr">
        <x:is>
          <x:t xml:space="preserve">冷淡、观察</x:t>
        </x:is>
      </x:c>
      <x:c r="C2" s="64" t="inlineStr">
        <x:is>
          <x:t xml:space="preserve">视线扫筹码，手指有节奏地敲桌</x:t>
        </x:is>
      </x:c>
      <x:c r="D2" s="64" t="str">
        <x:v>坐姿更清楚：上身前倾、托腮或双手压桌，不必拿牌，用桌面观察姿态表现信息收集。</x:v>
      </x:c>
      <x:c r="E2" s="64" t="inlineStr">
        <x:is>
          <x:t xml:space="preserve">角色在收集信息</x:t>
        </x:is>
      </x:c>
      <x:c r="F2" s="64" t="inlineStr">
        <x:is>
          <x:t xml:space="preserve">低饱和背景、轻微环境音</x:t>
        </x:is>
      </x:c>
    </x:row>
    <x:row r="3" ht="56" customHeight="1">
      <x:c r="A3" s="64" t="inlineStr">
        <x:is>
          <x:t xml:space="preserve">好牌</x:t>
        </x:is>
      </x:c>
      <x:c r="B3" s="64" t="inlineStr">
        <x:is>
          <x:t xml:space="preserve">看似平静</x:t>
        </x:is>
      </x:c>
      <x:c r="C3" s="64" t="inlineStr">
        <x:is>
          <x:t xml:space="preserve">眼睛亮一下，嘴角微压</x:t>
        </x:is>
      </x:c>
      <x:c r="D3" s="64" t="str">
        <x:v>靠背、双手交叠或轻压筹码，动作看似放松但构图更明显，避免一直拿牌。</x:v>
      </x:c>
      <x:c r="E3" s="64" t="inlineStr">
        <x:is>
          <x:t xml:space="preserve">他拿到了优势但不想暴露</x:t>
        </x:is>
      </x:c>
      <x:c r="F3" s="64" t="inlineStr">
        <x:is>
          <x:t xml:space="preserve">内心小人狂喜/短暂金光</x:t>
        </x:is>
      </x:c>
    </x:row>
    <x:row r="4" ht="56" customHeight="1">
      <x:c r="A4" s="64" t="inlineStr">
        <x:is>
          <x:t xml:space="preserve">烂牌</x:t>
        </x:is>
      </x:c>
      <x:c r="B4" s="64" t="inlineStr">
        <x:is>
          <x:t xml:space="preserve">强撑镇定</x:t>
        </x:is>
      </x:c>
      <x:c r="C4" s="64" t="inlineStr">
        <x:is>
          <x:t xml:space="preserve">眉毛抽动、汗滴、短暂失焦</x:t>
        </x:is>
      </x:c>
      <x:c r="D4" s="64" t="str">
        <x:v>坐直、拢筹码、肩膀缩紧，先做出明显失控再恢复镇定。</x:v>
      </x:c>
      <x:c r="E4" s="64" t="inlineStr">
        <x:is>
          <x:t xml:space="preserve">他在硬演</x:t>
        </x:is>
      </x:c>
      <x:c r="F4" s="64" t="inlineStr">
        <x:is>
          <x:t xml:space="preserve">灰白背景、尴尬停顿</x:t>
        </x:is>
      </x:c>
    </x:row>
    <x:row r="5" ht="56" customHeight="1">
      <x:c r="A5" s="64" t="inlineStr">
        <x:is>
          <x:t xml:space="preserve">诈唬</x:t>
        </x:is>
      </x:c>
      <x:c r="B5" s="64" t="inlineStr">
        <x:is>
          <x:t xml:space="preserve">假自信</x:t>
        </x:is>
      </x:c>
      <x:c r="C5" s="64" t="inlineStr">
        <x:is>
          <x:t xml:space="preserve">笑容过稳，眼神微飘</x:t>
        </x:is>
      </x:c>
      <x:c r="D5" s="64" t="str">
        <x:v>用后靠、推筹码、撑桌沿等大动作制造压迫，但保留手指僵硬或汗滴破绽。</x:v>
      </x:c>
      <x:c r="E5" s="64" t="inlineStr">
        <x:is>
          <x:t xml:space="preserve">他很慌但想压迫对手</x:t>
        </x:is>
      </x:c>
      <x:c r="F5" s="64" t="inlineStr">
        <x:is>
          <x:t xml:space="preserve">内心字幕、心跳声</x:t>
        </x:is>
      </x:c>
    </x:row>
    <x:row r="6" ht="56" customHeight="1">
      <x:c r="A6" s="64" t="inlineStr">
        <x:is>
          <x:t xml:space="preserve">被反制</x:t>
        </x:is>
      </x:c>
      <x:c r="B6" s="64" t="inlineStr">
        <x:is>
          <x:t xml:space="preserve">笑容僵住</x:t>
        </x:is>
      </x:c>
      <x:c r="C6" s="64" t="inlineStr">
        <x:is>
          <x:t xml:space="preserve">瞳孔缩小，动作停止</x:t>
        </x:is>
      </x:c>
      <x:c r="D6" s="64" t="str">
        <x:v>身体后仰、手停半空、椅背露出更多，强化被反制的刹车感。</x:v>
      </x:c>
      <x:c r="E6" s="64" t="inlineStr">
        <x:is>
          <x:t xml:space="preserve">局势突然逆转</x:t>
        </x:is>
      </x:c>
      <x:c r="F6" s="64" t="inlineStr">
        <x:is>
          <x:t xml:space="preserve">黑场、筹码落桌声</x:t>
        </x:is>
      </x:c>
    </x:row>
    <x:row r="7" ht="56" customHeight="1">
      <x:c r="A7" s="64" t="inlineStr">
        <x:is>
          <x:t xml:space="preserve">赢牌</x:t>
        </x:is>
      </x:c>
      <x:c r="B7" s="64" t="inlineStr">
        <x:is>
          <x:t xml:space="preserve">轻笑或得意</x:t>
        </x:is>
      </x:c>
      <x:c r="C7" s="64" t="inlineStr">
        <x:is>
          <x:t xml:space="preserve">眼神挑衅，动作从容</x:t>
        </x:is>
      </x:c>
      <x:c r="D7" s="64" t="str">
        <x:v>双手全力推筹码、身体压向桌面，动作要有冲击力和仪式感。</x:v>
      </x:c>
      <x:c r="E7" s="64" t="inlineStr">
        <x:is>
          <x:t xml:space="preserve">他享受胜利</x:t>
        </x:is>
      </x:c>
      <x:c r="F7" s="64" t="inlineStr">
        <x:is>
          <x:t xml:space="preserve">筹码声放大、镜头推近</x:t>
        </x:is>
      </x:c>
    </x:row>
    <x:row r="8" ht="56" customHeight="1">
      <x:c r="A8" s="64" t="inlineStr">
        <x:is>
          <x:t xml:space="preserve">输牌</x:t>
        </x:is>
      </x:c>
      <x:c r="B8" s="64" t="inlineStr">
        <x:is>
          <x:t xml:space="preserve">灵魂出窍</x:t>
        </x:is>
      </x:c>
      <x:c r="C8" s="64" t="inlineStr">
        <x:is>
          <x:t xml:space="preserve">眼神空洞，脸色灰白</x:t>
        </x:is>
      </x:c>
      <x:c r="D8" s="64" t="str">
        <x:v>真正高手可不夸张，但姿态要完整：端坐、双手平放、构图对称，压迫来自稳定。</x:v>
      </x:c>
      <x:c r="E8" s="64" t="inlineStr">
        <x:is>
          <x:t xml:space="preserve">被彻底打击</x:t>
        </x:is>
      </x:c>
      <x:c r="F8" s="64" t="inlineStr">
        <x:is>
          <x:t xml:space="preserve">灰白化、灵魂飘出</x:t>
        </x:is>
      </x:c>
    </x:row>
    <x:row r="9" ht="56" customHeight="1">
      <x:c r="A9" s="64" t="inlineStr">
        <x:is>
          <x:t xml:space="preserve">All-in</x:t>
        </x:is>
      </x:c>
      <x:c r="B9" s="64" t="inlineStr">
        <x:is>
          <x:t xml:space="preserve">坚定燃起</x:t>
        </x:is>
      </x:c>
      <x:c r="C9" s="64" t="inlineStr">
        <x:is>
          <x:t xml:space="preserve">眼神聚焦，表情认真</x:t>
        </x:is>
      </x:c>
      <x:c r="D9" s="64" t="inlineStr">
        <x:is>
          <x:t xml:space="preserve"/>
        </x:is>
      </x:c>
      <x:c r="E9" s="64" t="inlineStr">
        <x:is>
          <x:t xml:space="preserve">故事进入高潮</x:t>
        </x:is>
      </x:c>
      <x:c r="F9" s="64" t="inlineStr">
        <x:is>
          <x:t xml:space="preserve">风压、火焰、强对比光影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1f272d6fb93452f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4" max="4" width="14" customWidth="1"/>
    <x:col min="5" max="5" width="14" customWidth="1"/>
  </x:cols>
  <x:sheetData>
    <x:row r="1" ht="32" customHeight="1">
      <x:c r="A1" s="103" t="inlineStr">
        <x:is>
          <x:t xml:space="preserve">德州扑克动漫角色表情设计总览</x:t>
        </x:is>
      </x:c>
      <x:c r="B1" s="63" t="n"/>
      <x:c r="C1" s="63" t="n"/>
      <x:c r="D1" s="63" t="n"/>
      <x:c r="E1" s="63" t="n"/>
      <x:c r="F1" s="1" t="n"/>
    </x:row>
    <x:row r="2">
      <x:c r="A2" s="63"/>
      <x:c r="B2" s="63"/>
      <x:c r="C2" s="63"/>
      <x:c r="D2" s="63"/>
      <x:c r="E2" s="63"/>
    </x:row>
    <x:row r="3">
      <x:c r="A3" s="95" t="inlineStr">
        <x:is>
          <x:t xml:space="preserve">指标</x:t>
        </x:is>
      </x:c>
      <x:c r="B3" s="95" t="inlineStr">
        <x:is>
          <x:t xml:space="preserve">数值</x:t>
        </x:is>
      </x:c>
      <x:c r="C3" s="95"/>
      <x:c r="D3" s="95" t="inlineStr">
        <x:is>
          <x:t xml:space="preserve">表现强度</x:t>
        </x:is>
      </x:c>
      <x:c r="E3" s="95" t="inlineStr">
        <x:is>
          <x:t xml:space="preserve">场景数量</x:t>
        </x:is>
      </x:c>
    </x:row>
    <x:row r="4">
      <x:c r="A4" s="80" t="inlineStr">
        <x:is>
          <x:t xml:space="preserve">表情场景总数</x:t>
        </x:is>
      </x:c>
      <x:c r="B4" s="63" t="n">
        <x:f>COUNTA('表情清单'!B2:B13)</x:f>
        <x:v>12</x:v>
      </x:c>
      <x:c r="C4" s="63"/>
      <x:c r="D4" s="63" t="n">
        <x:v>1</x:v>
      </x:c>
      <x:c r="E4" s="63" t="n">
        <x:f>COUNTIF('表情清单'!K2:K13,D4)</x:f>
        <x:v>0</x:v>
      </x:c>
    </x:row>
    <x:row r="5">
      <x:c r="A5" s="80" t="inlineStr">
        <x:is>
          <x:t xml:space="preserve">最高表现强度</x:t>
        </x:is>
      </x:c>
      <x:c r="B5" s="63" t="n">
        <x:f>MAX('表情清单'!K2:K13)</x:f>
        <x:v>5</x:v>
      </x:c>
      <x:c r="C5" s="63"/>
      <x:c r="D5" s="63" t="n">
        <x:v>2</x:v>
      </x:c>
      <x:c r="E5" s="63" t="n">
        <x:f>COUNTIF('表情清单'!K2:K13,D5)</x:f>
        <x:v>2</x:v>
      </x:c>
    </x:row>
    <x:row r="6">
      <x:c r="A6" s="80" t="inlineStr">
        <x:is>
          <x:t xml:space="preserve">平均表现强度</x:t>
        </x:is>
      </x:c>
      <x:c r="B6" s="63" t="n">
        <x:f>ROUND(AVERAGE('表情清单'!K2:K13),1)</x:f>
        <x:v>3.8</x:v>
      </x:c>
      <x:c r="C6" s="63"/>
      <x:c r="D6" s="63" t="n">
        <x:v>3</x:v>
      </x:c>
      <x:c r="E6" s="63" t="n">
        <x:f>COUNTIF('表情清单'!K2:K13,D6)</x:f>
        <x:v>2</x:v>
      </x:c>
    </x:row>
    <x:row r="7">
      <x:c r="A7" s="80" t="inlineStr">
        <x:is>
          <x:t xml:space="preserve">高潮/决战类场景</x:t>
        </x:is>
      </x:c>
      <x:c r="B7" s="63" t="n">
        <x:f>COUNTIF('表情清单'!L2:L13,"*高潮*")+COUNTIF('表情清单'!L2:L13,"*决战*")</x:f>
        <x:v>0</x:v>
      </x:c>
      <x:c r="C7" s="63"/>
      <x:c r="D7" s="63" t="n">
        <x:v>4</x:v>
      </x:c>
      <x:c r="E7" s="63" t="n">
        <x:f>COUNTIF('表情清单'!K2:K13,D7)</x:f>
        <x:v>5</x:v>
      </x:c>
    </x:row>
    <x:row r="8">
      <x:c r="A8" s="63"/>
      <x:c r="B8" s="63"/>
      <x:c r="C8" s="63"/>
      <x:c r="D8" s="63" t="n">
        <x:v>5</x:v>
      </x:c>
      <x:c r="E8" s="63" t="n">
        <x:f>COUNTIF('表情清单'!K2:K13,D8)</x:f>
        <x:v>3</x:v>
      </x:c>
    </x:row>
  </x:sheetData>
  <x:mergeCells>
    <x:mergeCell ref="A1:F1"/>
  </x:mergeCells>
  <x:conditionalFormatting sqref="A3:B7">
    <x:cfRule type="expression" dxfId="0" priority="1">
      <x:formula>$B4&gt;=4</x:formula>
    </x:cfRule>
  </x:conditionalFormatting>
  <x:conditionalFormatting sqref="E4:E8">
    <x:cfRule type="dataBar" priority="2">
      <x:dataBar>
        <x:cfvo type="min"/>
        <x:cfvo type="max"/>
        <x:color rgb="0060A5FA"/>
      </x:dataBar>
    </x:cfRule>
  </x:conditionalFormatting>
  <x:pageMargins left="0.7" right="0.7" top="0.75" bottom="0.75" header="0.3" footer="0.3"/>
  <x:drawing xmlns:r="http://schemas.openxmlformats.org/officeDocument/2006/relationships" r:id="Re1c25df8b7c441c8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2" customWidth="1"/>
  </x:cols>
  <x:sheetData>
    <x:row r="1" ht="44" customHeight="1">
      <x:c r="A1" s="50" t="inlineStr">
        <x:is>
          <x:t xml:space="preserve">使用建议</x:t>
        </x:is>
      </x:c>
      <x:c r="B1" s="50" t="inlineStr">
        <x:is>
          <x:t xml:space="preserve">说明</x:t>
        </x:is>
      </x:c>
      <x:c r="C1" s="50" t="inlineStr">
        <x:is>
          <x:t xml:space="preserve">示例</x:t>
        </x:is>
      </x:c>
    </x:row>
    <x:row r="2" ht="44" customHeight="1">
      <x:c r="A2" s="13" t="inlineStr">
        <x:is>
          <x:t xml:space="preserve">表情强度</x:t>
        </x:is>
      </x:c>
      <x:c r="B2" s="13" t="inlineStr">
        <x:is>
          <x:t xml:space="preserve">1-2 适合日常铺垫；3 适合小反转；4-5 适合高潮、失败或强戏剧冲突</x:t>
        </x:is>
      </x:c>
      <x:c r="C2" s="13" t="inlineStr">
        <x:is>
          <x:t xml:space="preserve">All-in、输光、苦思可设为 5</x:t>
        </x:is>
      </x:c>
    </x:row>
    <x:row r="3" ht="44" customHeight="1">
      <x:c r="A3" s="13" t="inlineStr">
        <x:is>
          <x:t xml:space="preserve">镜头语言</x:t>
        </x:is>
      </x:c>
      <x:c r="B3" s="13" t="inlineStr">
        <x:is>
          <x:t xml:space="preserve">关键表情建议用近景或特写，配合筹码声、心跳声、黑场等强化情绪</x:t>
        </x:is>
      </x:c>
      <x:c r="C3" s="13" t="inlineStr">
        <x:is>
          <x:t xml:space="preserve">被加注时先给手停住，再切瞳孔缩小</x:t>
        </x:is>
      </x:c>
    </x:row>
    <x:row r="4" ht="44" customHeight="1">
      <x:c r="A4" s="13" t="inlineStr">
        <x:is>
          <x:t xml:space="preserve">反差设计</x:t>
        </x:is>
      </x:c>
      <x:c r="B4" s="13" t="inlineStr">
        <x:is>
          <x:t xml:space="preserve">动漫角色可以外冷内热，外表扑克脸，内心字幕疯狂吐槽</x:t>
        </x:is>
      </x:c>
      <x:c r="C4" s="13" t="inlineStr">
        <x:is>
          <x:t xml:space="preserve">诈唬时外表嚣张，内心祈祷</x:t>
        </x:is>
      </x:c>
    </x:row>
    <x:row r="5" ht="44" customHeight="1">
      <x:c r="A5" s="13" t="inlineStr">
        <x:is>
          <x:t xml:space="preserve">角色统一性</x:t>
        </x:is>
      </x:c>
      <x:c r="B5" s="13" t="inlineStr">
        <x:is>
          <x:t xml:space="preserve">不要每一局都夸张崩坏；给角色设定固定的微表情破绽</x:t>
        </x:is>
      </x:c>
      <x:c r="C5" s="13" t="inlineStr">
        <x:is>
          <x:t xml:space="preserve">紧张时总会摸筹码或眼角冒汗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fcf6f0015da4f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32" hidden="0" customWidth="1"/>
    <x:col min="5" max="5" width="28" hidden="0" customWidth="1"/>
  </x:cols>
  <x:sheetData>
    <x:row r="1" ht="30" customHeight="1">
      <x:c r="A1" s="102" t="str">
        <x:v>目的</x:v>
      </x:c>
      <x:c r="B1" s="102" t="str">
        <x:v>规则</x:v>
      </x:c>
      <x:c r="C1" s="102" t="str">
        <x:v>推荐做法</x:v>
      </x:c>
      <x:c r="D1" s="102" t="str">
        <x:v>避免做法</x:v>
      </x:c>
      <x:c r="E1" s="102" t="str">
        <x:v>备注</x:v>
      </x:c>
    </x:row>
    <x:row r="2" ht="58" customHeight="1">
      <x:c r="A2" s="64" t="str">
        <x:v>不要每张都拿牌</x:v>
      </x:c>
      <x:c r="B2" s="64" t="str">
        <x:v>多数表情用手势、姿态、筹码互动表达情绪</x:v>
      </x:c>
      <x:c r="C2" s="64" t="str">
        <x:v>托腮、撑桌、推筹码、拉筹码、扶帽檐、瘫椅背</x:v>
      </x:c>
      <x:c r="D2" s="64" t="str">
        <x:v>两张手牌永远挡脸</x:v>
      </x:c>
      <x:c r="E2" s="64" t="str">
        <x:v>只在“偷看底牌/摊牌”场景少量使用拿牌</x:v>
      </x:c>
    </x:row>
    <x:row r="3" ht="58" customHeight="1">
      <x:c r="A3" s="64" t="str">
        <x:v>动作幅度加大</x:v>
      </x:c>
      <x:c r="B3" s="64" t="str">
        <x:v>表情不变时，用身体姿态让状态更清楚</x:v>
      </x:c>
      <x:c r="C3" s="64" t="str">
        <x:v>前倾、后仰、坐直、瘫倒、双手推筹码</x:v>
      </x:c>
      <x:c r="D3" s="64" t="str">
        <x:v>只有嘴角和眼睛细微变化</x:v>
      </x:c>
      <x:c r="E3" s="64" t="str">
        <x:v>适合后续批量出图区分画面</x:v>
      </x:c>
    </x:row>
    <x:row r="4" ht="58" customHeight="1">
      <x:c r="A4" s="64" t="str">
        <x:v>保持角色一致</x:v>
      </x:c>
      <x:c r="B4" s="64" t="str">
        <x:v>服装、发色、帽子、桌面元素保持基准图一致</x:v>
      </x:c>
      <x:c r="C4" s="64" t="str">
        <x:v>红贝雷帽、金发绿眼、绿色桌面、筹码、Dealer Button</x:v>
      </x:c>
      <x:c r="D4" s="64" t="str">
        <x:v>改变角色设定或场景主题</x:v>
      </x:c>
      <x:c r="E4" s="64" t="str">
        <x:v>动作变化大，角色身份不变</x:v>
      </x:c>
    </x:row>
    <x:row r="5" ht="58" customHeight="1">
      <x:c r="A5" s="64" t="str">
        <x:v>德州扑克逻辑</x:v>
      </x:c>
      <x:c r="B5" s="64" t="str">
        <x:v>动作必须服务牌局状态</x:v>
      </x:c>
      <x:c r="C5" s="64" t="str">
        <x:v>All-in 推筹码；苦思双肘上桌；赢牌拉回筹码；输光瘫椅背</x:v>
      </x:c>
      <x:c r="D5" s="64" t="str">
        <x:v>与牌局状态无关的摆拍</x:v>
      </x:c>
      <x:c r="E5" s="64" t="str">
        <x:v>让观众一眼看懂情绪</x:v>
      </x:c>
    </x:row>
    <x:row r="6" ht="58" customHeight="1">
      <x:c r="A6" s="64" t="str">
        <x:v>镜头建议</x:v>
      </x:c>
      <x:c r="B6" s="64" t="str">
        <x:v>关键动作可给更明显构图</x:v>
      </x:c>
      <x:c r="C6" s="64" t="str">
        <x:v>上半身近景，桌面筹码占前景，背景压暗</x:v>
      </x:c>
      <x:c r="D6" s="64" t="str">
        <x:v>过多背景人物和杂物</x:v>
      </x:c>
      <x:c r="E6" s="64" t="str">
        <x:v>方便做直播画面/分镜素材</x:v>
      </x:c>
    </x:row>
  </x:sheetData>
  <x:pageMargins left="0.7" right="0.7" top="0.75" bottom="0.75" header="0.3" footer="0.3"/>
</x:worksheet>
</file>